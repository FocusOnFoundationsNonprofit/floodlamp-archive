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 12-6" sheetId="1" r:id="rId5"/>
  </sheets>
  <definedNames/>
  <calcPr/>
</workbook>
</file>

<file path=xl/sharedStrings.xml><?xml version="1.0" encoding="utf-8"?>
<sst xmlns="http://schemas.openxmlformats.org/spreadsheetml/2006/main" count="16" uniqueCount="16">
  <si>
    <t>Open Source Platform</t>
  </si>
  <si>
    <t>OS Platform - new CYOA website</t>
  </si>
  <si>
    <t>Legal IP - open license w commercial terms (app and test)</t>
  </si>
  <si>
    <t>Comms - Publication, Outreach, Community, PR, Summit, Interview Series</t>
  </si>
  <si>
    <t>Clinical and Regulatory</t>
  </si>
  <si>
    <t>10K Test Kits for Clinical Studies w Surveillance ($2/kit for NEB MM)</t>
  </si>
  <si>
    <t>Regulatory Consulting (Arete, SalivaDirect partnership)</t>
  </si>
  <si>
    <t>Clinical Studies Site Bring Up &amp; Maintenance</t>
  </si>
  <si>
    <t>Staff</t>
  </si>
  <si>
    <t>heads</t>
  </si>
  <si>
    <t xml:space="preserve">Employee Salaries </t>
  </si>
  <si>
    <t>salaries/mo</t>
  </si>
  <si>
    <t>mo</t>
  </si>
  <si>
    <t>Benefits and Taxes</t>
  </si>
  <si>
    <t>overhead</t>
  </si>
  <si>
    <t>TOTAL PROPOSAL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</si>
</sst>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0.0%"/>
  </numFmts>
  <fonts count="9">
    <font>
      <sz val="10.0"/>
      <color rgb="FF000000"/>
      <name val="Arial"/>
      <scheme val="minor"/>
    </font>
    <font>
      <b/>
      <color theme="1"/>
      <name val="Roboto"/>
    </font>
    <font>
      <b/>
      <sz val="12.0"/>
      <color theme="1"/>
      <name val="Roboto"/>
    </font>
    <font>
      <color theme="1"/>
      <name val="Roboto"/>
    </font>
    <font>
      <color theme="1"/>
      <name val="Arial"/>
    </font>
    <font>
      <u/>
      <color theme="1"/>
      <name val="Roboto"/>
    </font>
    <font/>
    <font>
      <u/>
      <color theme="1"/>
      <name val="Roboto"/>
    </font>
    <font>
      <u/>
      <color theme="1"/>
      <name val="Roboto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164" xfId="0" applyFont="1" applyNumberFormat="1"/>
    <xf borderId="0" fillId="0" fontId="2" numFmtId="0" xfId="0" applyAlignment="1" applyFont="1">
      <alignment readingOrder="0"/>
    </xf>
    <xf borderId="0" fillId="0" fontId="3" numFmtId="0" xfId="0" applyFont="1"/>
    <xf borderId="1" fillId="0" fontId="2" numFmtId="164" xfId="0" applyBorder="1" applyFont="1" applyNumberFormat="1"/>
    <xf borderId="2" fillId="0" fontId="2" numFmtId="0" xfId="0" applyAlignment="1" applyBorder="1" applyFont="1">
      <alignment readingOrder="0"/>
    </xf>
    <xf borderId="2" fillId="0" fontId="3" numFmtId="0" xfId="0" applyBorder="1" applyFont="1"/>
    <xf borderId="3" fillId="0" fontId="3" numFmtId="0" xfId="0" applyBorder="1" applyFont="1"/>
    <xf borderId="0" fillId="0" fontId="3" numFmtId="0" xfId="0" applyAlignment="1" applyFont="1">
      <alignment readingOrder="0" shrinkToFit="0" wrapText="1"/>
    </xf>
    <xf borderId="4" fillId="0" fontId="3" numFmtId="164" xfId="0" applyAlignment="1" applyBorder="1" applyFont="1" applyNumberFormat="1">
      <alignment readingOrder="0"/>
    </xf>
    <xf borderId="0" fillId="0" fontId="3" numFmtId="0" xfId="0" applyAlignment="1" applyFont="1">
      <alignment readingOrder="0"/>
    </xf>
    <xf borderId="5" fillId="0" fontId="3" numFmtId="0" xfId="0" applyBorder="1" applyFont="1"/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shrinkToFit="0" wrapText="1"/>
    </xf>
    <xf borderId="4" fillId="0" fontId="3" numFmtId="0" xfId="0" applyBorder="1" applyFont="1"/>
    <xf borderId="0" fillId="0" fontId="3" numFmtId="0" xfId="0" applyAlignment="1" applyFont="1">
      <alignment vertical="bottom"/>
    </xf>
    <xf borderId="4" fillId="0" fontId="2" numFmtId="164" xfId="0" applyBorder="1" applyFont="1" applyNumberFormat="1"/>
    <xf borderId="0" fillId="0" fontId="3" numFmtId="0" xfId="0" applyAlignment="1" applyFont="1">
      <alignment horizontal="left" readingOrder="0"/>
    </xf>
    <xf borderId="5" fillId="0" fontId="6" numFmtId="0" xfId="0" applyBorder="1" applyFont="1"/>
    <xf borderId="0" fillId="0" fontId="4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4" fillId="0" fontId="2" numFmtId="164" xfId="0" applyAlignment="1" applyBorder="1" applyFont="1" applyNumberFormat="1">
      <alignment readingOrder="0"/>
    </xf>
    <xf borderId="0" fillId="0" fontId="3" numFmtId="9" xfId="0" applyAlignment="1" applyFont="1" applyNumberFormat="1">
      <alignment readingOrder="0"/>
    </xf>
    <xf borderId="5" fillId="0" fontId="3" numFmtId="0" xfId="0" applyAlignment="1" applyBorder="1" applyFont="1">
      <alignment readingOrder="0"/>
    </xf>
    <xf borderId="0" fillId="0" fontId="3" numFmtId="164" xfId="0" applyAlignment="1" applyFont="1" applyNumberFormat="1">
      <alignment readingOrder="0"/>
    </xf>
    <xf borderId="4" fillId="0" fontId="3" numFmtId="164" xfId="0" applyBorder="1" applyFont="1" applyNumberFormat="1"/>
    <xf borderId="0" fillId="0" fontId="3" numFmtId="165" xfId="0" applyAlignment="1" applyFont="1" applyNumberFormat="1">
      <alignment readingOrder="0"/>
    </xf>
    <xf borderId="0" fillId="0" fontId="8" numFmtId="0" xfId="0" applyAlignment="1" applyFont="1">
      <alignment horizontal="center" readingOrder="0"/>
    </xf>
    <xf borderId="0" fillId="0" fontId="1" numFmtId="0" xfId="0" applyFont="1"/>
    <xf borderId="0" fillId="0" fontId="3" numFmtId="0" xfId="0" applyAlignment="1" applyFont="1">
      <alignment shrinkToFit="0" wrapText="1"/>
    </xf>
    <xf borderId="6" fillId="0" fontId="2" numFmtId="164" xfId="0" applyAlignment="1" applyBorder="1" applyFont="1" applyNumberFormat="1">
      <alignment readingOrder="0"/>
    </xf>
    <xf borderId="7" fillId="0" fontId="2" numFmtId="0" xfId="0" applyAlignment="1" applyBorder="1" applyFont="1">
      <alignment readingOrder="0"/>
    </xf>
    <xf borderId="7" fillId="0" fontId="3" numFmtId="0" xfId="0" applyBorder="1" applyFont="1"/>
    <xf borderId="7" fillId="0" fontId="2" numFmtId="164" xfId="0" applyAlignment="1" applyBorder="1" applyFont="1" applyNumberFormat="1">
      <alignment readingOrder="0"/>
    </xf>
    <xf borderId="8" fillId="0" fontId="2" numFmtId="164" xfId="0" applyAlignment="1" applyBorder="1" applyFont="1" applyNumberForma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3.38"/>
    <col customWidth="1" min="3" max="3" width="15.13"/>
    <col customWidth="1" min="4" max="4" width="17.0"/>
    <col customWidth="1" min="5" max="5" width="12.0"/>
    <col customWidth="1" min="6" max="7" width="5.38"/>
    <col customWidth="1" min="8" max="8" width="5.13"/>
    <col customWidth="1" min="9" max="9" width="4.13"/>
    <col customWidth="1" min="10" max="10" width="12.25"/>
    <col customWidth="1" min="11" max="11" width="20.5"/>
    <col customWidth="1" min="13" max="13" width="13.88"/>
    <col customWidth="1" min="14" max="14" width="13.25"/>
  </cols>
  <sheetData>
    <row r="1">
      <c r="A1" s="1"/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1"/>
      <c r="B2" s="5">
        <f>SUM(B3:B5)</f>
        <v>130000</v>
      </c>
      <c r="C2" s="6" t="s">
        <v>0</v>
      </c>
      <c r="D2" s="7"/>
      <c r="E2" s="7"/>
      <c r="F2" s="7"/>
      <c r="G2" s="8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9"/>
      <c r="B3" s="10">
        <v>90000.0</v>
      </c>
      <c r="C3" s="11" t="s">
        <v>1</v>
      </c>
      <c r="D3" s="4"/>
      <c r="E3" s="4"/>
      <c r="F3" s="4"/>
      <c r="G3" s="12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9"/>
      <c r="B4" s="10">
        <v>25000.0</v>
      </c>
      <c r="C4" s="11" t="s">
        <v>2</v>
      </c>
      <c r="D4" s="4"/>
      <c r="E4" s="11"/>
      <c r="F4" s="4"/>
      <c r="G4" s="12"/>
      <c r="H4" s="4"/>
      <c r="I4" s="4"/>
      <c r="J4" s="4"/>
      <c r="K4" s="13"/>
      <c r="L4" s="1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9"/>
      <c r="B5" s="10">
        <v>15000.0</v>
      </c>
      <c r="C5" s="11" t="s">
        <v>3</v>
      </c>
      <c r="D5" s="4"/>
      <c r="E5" s="4"/>
      <c r="F5" s="4"/>
      <c r="G5" s="12"/>
      <c r="H5" s="4"/>
      <c r="I5" s="4"/>
      <c r="J5" s="4"/>
      <c r="K5" s="13"/>
      <c r="L5" s="13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14"/>
      <c r="B6" s="15"/>
      <c r="C6" s="3"/>
      <c r="D6" s="4"/>
      <c r="E6" s="4"/>
      <c r="F6" s="4"/>
      <c r="G6" s="12"/>
      <c r="H6" s="4"/>
      <c r="I6" s="4"/>
      <c r="J6" s="4"/>
      <c r="K6" s="13"/>
      <c r="L6" s="13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16"/>
      <c r="B7" s="17">
        <f>SUM(B8:B10)</f>
        <v>100000</v>
      </c>
      <c r="C7" s="3" t="s">
        <v>4</v>
      </c>
      <c r="D7" s="4"/>
      <c r="E7" s="4"/>
      <c r="F7" s="4"/>
      <c r="G7" s="12"/>
      <c r="H7" s="4"/>
      <c r="I7" s="4"/>
      <c r="J7" s="4"/>
      <c r="K7" s="13"/>
      <c r="L7" s="13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16"/>
      <c r="B8" s="10">
        <v>20000.0</v>
      </c>
      <c r="C8" s="18" t="s">
        <v>5</v>
      </c>
      <c r="G8" s="19"/>
      <c r="H8" s="4"/>
      <c r="I8" s="4"/>
      <c r="J8" s="4"/>
      <c r="K8" s="20"/>
      <c r="L8" s="13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16"/>
      <c r="B9" s="10">
        <v>50000.0</v>
      </c>
      <c r="C9" s="11" t="s">
        <v>6</v>
      </c>
      <c r="D9" s="4"/>
      <c r="E9" s="4"/>
      <c r="F9" s="4"/>
      <c r="G9" s="12"/>
      <c r="H9" s="4"/>
      <c r="I9" s="4"/>
      <c r="J9" s="4"/>
      <c r="K9" s="13"/>
      <c r="L9" s="13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16"/>
      <c r="B10" s="10">
        <v>30000.0</v>
      </c>
      <c r="C10" s="11" t="s">
        <v>7</v>
      </c>
      <c r="D10" s="4"/>
      <c r="E10" s="4"/>
      <c r="F10" s="4"/>
      <c r="G10" s="12"/>
      <c r="H10" s="4"/>
      <c r="I10" s="4"/>
      <c r="J10" s="4"/>
      <c r="K10" s="13"/>
      <c r="L10" s="13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16"/>
      <c r="B11" s="15"/>
      <c r="C11" s="3"/>
      <c r="D11" s="4"/>
      <c r="E11" s="4"/>
      <c r="F11" s="4"/>
      <c r="G11" s="12"/>
      <c r="H11" s="4"/>
      <c r="I11" s="4"/>
      <c r="J11" s="4"/>
      <c r="L11" s="13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21"/>
      <c r="B12" s="22">
        <f>10000*ROUND(SUM(B13:B14)/10000,0)</f>
        <v>70000</v>
      </c>
      <c r="C12" s="3" t="s">
        <v>8</v>
      </c>
      <c r="D12" s="11">
        <v>3.0</v>
      </c>
      <c r="E12" s="11" t="s">
        <v>9</v>
      </c>
      <c r="F12" s="23"/>
      <c r="G12" s="2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6"/>
      <c r="B13" s="10">
        <f>D13*F13</f>
        <v>60000</v>
      </c>
      <c r="C13" s="11" t="s">
        <v>10</v>
      </c>
      <c r="D13" s="25">
        <v>20000.0</v>
      </c>
      <c r="E13" s="11" t="s">
        <v>11</v>
      </c>
      <c r="F13" s="11">
        <v>3.0</v>
      </c>
      <c r="G13" s="24" t="s">
        <v>12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6"/>
      <c r="B14" s="26">
        <f>B13*D14</f>
        <v>13500</v>
      </c>
      <c r="C14" s="11" t="s">
        <v>13</v>
      </c>
      <c r="D14" s="27">
        <v>0.225</v>
      </c>
      <c r="E14" s="11" t="s">
        <v>14</v>
      </c>
      <c r="F14" s="4"/>
      <c r="G14" s="12"/>
      <c r="H14" s="4"/>
      <c r="I14" s="4"/>
      <c r="J14" s="28"/>
      <c r="K14" s="28"/>
      <c r="L14" s="28"/>
      <c r="M14" s="29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30"/>
      <c r="B15" s="10"/>
      <c r="C15" s="4"/>
      <c r="D15" s="4"/>
      <c r="E15" s="4"/>
      <c r="F15" s="4"/>
      <c r="G15" s="12"/>
      <c r="H15" s="25"/>
      <c r="I15" s="4"/>
      <c r="J15" s="4"/>
      <c r="K15" s="25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30"/>
      <c r="B16" s="31">
        <f>B12+B7+B2</f>
        <v>300000</v>
      </c>
      <c r="C16" s="32" t="s">
        <v>15</v>
      </c>
      <c r="D16" s="33"/>
      <c r="E16" s="34"/>
      <c r="F16" s="34"/>
      <c r="G16" s="35"/>
      <c r="H16" s="25"/>
      <c r="I16" s="4"/>
      <c r="J16" s="4"/>
      <c r="K16" s="25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14"/>
      <c r="B17" s="36"/>
      <c r="C17" s="3"/>
      <c r="D17" s="4"/>
      <c r="E17" s="16"/>
      <c r="F17" s="1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30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30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30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30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30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30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30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3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30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30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30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30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30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30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30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30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30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30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30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30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30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30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30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30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30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30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30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30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30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30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30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30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30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30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30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30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30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30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30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30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30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30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30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30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30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30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30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30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30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30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30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30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30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30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30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30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30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30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30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30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30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30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30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30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30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30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30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30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30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30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30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30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30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30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30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30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30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30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30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30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30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30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30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30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30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30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30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30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30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30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30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30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30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30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30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30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30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30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30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30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30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30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30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30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30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30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30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30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30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30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30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30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30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30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30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30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30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30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30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30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30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30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30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30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30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30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30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30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30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30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30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30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30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30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30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30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30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30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30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30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30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30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30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30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30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30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30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30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30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30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30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30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30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30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30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30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30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30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30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30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30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30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30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30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30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30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30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30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30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30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30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30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30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30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30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30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30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30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30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30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30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30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30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30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30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30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30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30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30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30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30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30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30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30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30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30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30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30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30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30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30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30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30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30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30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30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30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30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30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30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30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30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30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30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30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30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30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30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30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30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30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30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30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30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30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30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30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30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30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30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30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30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30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30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30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30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30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30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30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30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30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30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30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30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30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30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30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30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30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30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30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30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30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30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30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30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30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30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30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30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30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30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30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30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30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30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30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30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30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30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30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30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30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30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30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30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30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30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30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30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30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30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30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30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30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30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30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30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30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30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30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30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30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30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30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30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30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30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30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30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30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30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30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30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30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30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30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30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30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30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30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30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30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30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30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30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30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30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30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30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30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30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30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30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30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30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30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30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30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30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30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30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30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30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30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30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30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30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30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30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30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30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30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30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30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30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30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30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30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30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30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30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30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30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30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30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30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30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30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30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30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30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30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30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30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30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30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30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30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30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30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30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30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30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30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30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30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30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30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30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30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30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30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30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30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30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30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30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30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30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30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30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30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30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30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30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30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30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30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30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30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30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30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30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30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30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30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30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30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30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30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30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30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30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30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30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30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30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30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30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30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30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30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30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30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30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30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30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30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30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30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30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30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30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30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30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30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30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30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30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30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30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30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30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30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30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30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30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30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30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30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30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30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30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30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30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30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30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30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30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30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30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30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30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30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30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30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30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30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30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30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30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30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30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30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30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30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30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30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30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30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30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30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30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30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30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30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30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30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30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30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30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30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30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30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30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30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30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30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30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30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30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30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30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30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30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30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30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30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30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30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30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30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30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30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30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30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30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30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30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30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30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30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30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30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30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30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30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30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30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30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30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30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30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30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30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30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30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30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30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30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30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30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30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30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30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30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30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30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30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30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30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30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30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30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30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30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30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30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30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30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30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30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30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30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30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30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30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30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30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30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30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30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30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30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30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30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30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30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30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30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30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30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30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30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30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30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30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30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30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30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30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30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30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30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30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30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30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30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30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30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30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30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30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30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30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30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30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30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30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30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30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30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30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30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30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30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30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30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30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30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30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30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30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30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30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30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30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30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30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30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30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30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30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30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30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30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30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30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30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30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30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30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30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30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30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30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30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30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30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30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30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30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30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30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30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30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30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30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30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30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30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30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30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30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30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30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30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30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30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30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30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30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30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30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30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30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30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30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30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30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30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30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30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30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30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30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30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30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30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30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30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30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30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30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30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30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30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30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30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30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30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30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30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30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30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30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30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30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30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30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30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30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30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30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30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30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30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30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30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30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30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30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30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30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30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30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30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30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30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30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30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30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30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30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30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30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30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30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30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30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30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30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30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30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30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30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30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30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30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30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30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30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30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30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30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30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30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30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30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30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30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30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30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30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30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30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30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30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30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30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30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30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30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30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30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30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30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30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30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30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30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30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30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30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30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30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30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30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30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30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30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30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30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30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30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30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30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30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30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30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30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30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30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30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30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30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30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30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30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30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30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30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30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30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30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30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30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30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30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30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30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30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30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30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30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30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30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30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30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30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30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30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30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30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30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30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30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30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30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30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30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30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30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30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30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30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30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30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30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30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30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30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30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30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30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30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30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30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30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30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30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30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30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30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30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30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30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30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30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30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30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30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30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30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30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30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30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30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30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30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30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30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30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30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30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30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30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30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30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30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30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30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30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30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30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30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30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30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30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30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30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30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30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30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30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30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30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30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30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30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30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30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30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30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30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30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30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30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30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30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30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30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30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30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30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30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30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30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30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30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30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30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30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30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30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30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30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30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30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30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30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30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30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</sheetData>
  <mergeCells count="1">
    <mergeCell ref="C8:G8"/>
  </mergeCells>
  <printOptions gridLines="1" horizontalCentered="1"/>
  <pageMargins bottom="0.75" footer="0.0" header="0.0" left="0.7" right="0.7" top="0.75"/>
  <pageSetup cellComments="atEnd" orientation="portrait" pageOrder="overThenDown"/>
  <rowBreaks count="2" manualBreakCount="2">
    <brk id="1" man="1"/>
    <brk id="17" man="1"/>
  </rowBreaks>
  <colBreaks count="2" manualBreakCount="2">
    <brk man="1"/>
    <brk id="10" man="1"/>
  </colBreaks>
  <drawing r:id="rId1"/>
</worksheet>
</file>