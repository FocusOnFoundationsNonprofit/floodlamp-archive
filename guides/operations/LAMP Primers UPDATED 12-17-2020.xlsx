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" sheetId="1" r:id="rId4"/>
  </sheets>
  <definedNames/>
  <calcPr/>
</workbook>
</file>

<file path=xl/sharedStrings.xml><?xml version="1.0" encoding="utf-8"?>
<sst xmlns="http://schemas.openxmlformats.org/spreadsheetml/2006/main" count="78" uniqueCount="78">
  <si>
    <t>FloodLAMP Contact Randy True   randy@floodlamp.bio</t>
  </si>
  <si>
    <t>from Rabe Cepko</t>
  </si>
  <si>
    <t>Proc Natl Acad Sci 2020 Sep 29;117(39):24450-24458. doi: 10.1073/pnas.2011221117. Epub 2020 Sep 8.</t>
  </si>
  <si>
    <t>Harvard University IP</t>
  </si>
  <si>
    <t>All oligos 5' to 3'</t>
  </si>
  <si>
    <t>6 Primer per set to be premixed at 30X concentration</t>
  </si>
  <si>
    <t>All primers HPLC purified</t>
  </si>
  <si>
    <t>Resuspended in DNAse RNAse free water, shipped on cold packs</t>
  </si>
  <si>
    <t>Supplied in 1ml tubes</t>
  </si>
  <si>
    <t>MOQ 25 x 1ml tubes (10K rxns at 2.5ul per reaction of 10X)</t>
  </si>
  <si>
    <t>As1e - ORF1ab (SARS-CoV-2)</t>
  </si>
  <si>
    <t>30X μM</t>
  </si>
  <si>
    <t>ml</t>
  </si>
  <si>
    <t>total nmoles</t>
  </si>
  <si>
    <t>As1e_FIP</t>
  </si>
  <si>
    <t>TCAGCACACAAAGCCAAAAATTTATTTTTCTGTGCAAAGGAAATTAAGGAG</t>
  </si>
  <si>
    <t>As1e_BIP</t>
  </si>
  <si>
    <t>TATTGGTGGAGCTAAACTTAAAGCCTTTTCTGTACAATCCCTTTGAGTG</t>
  </si>
  <si>
    <t>As1_F3</t>
  </si>
  <si>
    <t>CGGTGGACAAATTGTCAC</t>
  </si>
  <si>
    <t>As1_B3</t>
  </si>
  <si>
    <t>CTTCTCTGGATTTAACACACTT</t>
  </si>
  <si>
    <t>As1_LF</t>
  </si>
  <si>
    <t>TTACAAGCTTAAAGAATGTCTGAACACT</t>
  </si>
  <si>
    <t>As1_LB</t>
  </si>
  <si>
    <t>TTGAATTTAGGTGAAACATTTGTCACG</t>
  </si>
  <si>
    <t>E1 - E Gene (SARS-CoV-2)</t>
  </si>
  <si>
    <t>E1-FIP</t>
  </si>
  <si>
    <t>ACCACGAAAGCAAGAAAAAGAAGTTCGTTTCGGAAGAGACAG</t>
  </si>
  <si>
    <t>E1-BIP</t>
  </si>
  <si>
    <t>TTGCTAGTTACACTAGCCATCCTTAGGTTTTACAAGACTCACGT</t>
  </si>
  <si>
    <t>E1-F3</t>
  </si>
  <si>
    <t>TGAGTACGAACTTATGTACTCAT</t>
  </si>
  <si>
    <t>E1-B3</t>
  </si>
  <si>
    <t>TTCAGATTTTTAACACGAGAGT</t>
  </si>
  <si>
    <t>E1-LF</t>
  </si>
  <si>
    <t>CGCTATTAACTATTAACG</t>
  </si>
  <si>
    <t>E1-LB</t>
  </si>
  <si>
    <t>GCGCTTCGATTGTGTGCGT</t>
  </si>
  <si>
    <t>N2 - N Gene (SARS-CoV-2)</t>
  </si>
  <si>
    <t xml:space="preserve">N2-FIP </t>
  </si>
  <si>
    <t>TTCCGAAGAACGCTGAAGCGGAACTGATTACAAACATTGGCC</t>
  </si>
  <si>
    <t xml:space="preserve">N2-BIP </t>
  </si>
  <si>
    <t>CGCATTGGCATGGAAGTCACAATTTGATGGCACCTGTGTA</t>
  </si>
  <si>
    <t xml:space="preserve">N2-F3 </t>
  </si>
  <si>
    <t>ACCAGGAACTAATCAGACAAG</t>
  </si>
  <si>
    <t xml:space="preserve">N2-B3 </t>
  </si>
  <si>
    <t>GACTTGATCTTTGAAATTTGGATCT</t>
  </si>
  <si>
    <t xml:space="preserve">N2-LF </t>
  </si>
  <si>
    <t>GGGGGCAAATTGTGCAATTTG</t>
  </si>
  <si>
    <t xml:space="preserve">N2-LB </t>
  </si>
  <si>
    <t>CTTCGGGAACGTGGTTGACC</t>
  </si>
  <si>
    <t>RNAseP (Human IC)</t>
  </si>
  <si>
    <t>RNP-FIP</t>
  </si>
  <si>
    <t>GTGTGACCCTGAAGACTCGGTTTTAGCCACTGACTCGGATC</t>
  </si>
  <si>
    <t>RNP-BIP</t>
  </si>
  <si>
    <t>CCTCCGTGATATGGCTCTTCGTTTTTTTCTTACATGGCTCTGGTC</t>
  </si>
  <si>
    <t>RNP-F3</t>
  </si>
  <si>
    <t>TTGATGAGCTGGAGCCA</t>
  </si>
  <si>
    <t>RNP-B3</t>
  </si>
  <si>
    <t>CACCCTCAATGCAGAGTC</t>
  </si>
  <si>
    <t>RNP-LF</t>
  </si>
  <si>
    <t>ATGTGGATGGCTGAGTTGTT</t>
  </si>
  <si>
    <t>RNP-LB</t>
  </si>
  <si>
    <t>CATGCTGAGTACTGGACCTC</t>
  </si>
  <si>
    <t>ActinB (Human IC)</t>
  </si>
  <si>
    <t>ACTB-FIP</t>
  </si>
  <si>
    <t>GAGCCACACGCAGCTCATTGTATCACCAACTGGGACGACA</t>
  </si>
  <si>
    <t>ACTB-BIP</t>
  </si>
  <si>
    <t>CTGAACCCCAAGGCCAACCGGCTGGGGTGTTGAAGGTC</t>
  </si>
  <si>
    <t>ACTB-F3</t>
  </si>
  <si>
    <t>AGTACCCCATCGAGCACG</t>
  </si>
  <si>
    <t>ACTB-B3</t>
  </si>
  <si>
    <t>AGCCTGGATAGCAACGTACA</t>
  </si>
  <si>
    <t>ACTB-LF</t>
  </si>
  <si>
    <t>TGTGGTGCCAGATTTTCTCCA</t>
  </si>
  <si>
    <t>ACTB-B</t>
  </si>
  <si>
    <t>CGAGAAGATGACCCAGATCATGT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</si>
</sst>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&quot;Times New Roman&quot;"/>
    </font>
    <font>
      <b/>
      <sz val="11.0"/>
      <color theme="1"/>
      <name val="Arial"/>
      <scheme val="minor"/>
    </font>
    <font>
      <u/>
      <color rgb="FF3A3A3A"/>
      <name val="Arial"/>
    </font>
    <font>
      <u/>
      <color rgb="FF3A3A3A"/>
      <name val="Arial"/>
    </font>
    <font>
      <color rgb="FF3A3A3A"/>
      <name val="Arial"/>
    </font>
    <font>
      <color theme="1"/>
      <name val="&quot;Times New Roman&quot;"/>
    </font>
    <font>
      <color rgb="FF000000"/>
      <name val="Arial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center" readingOrder="0" shrinkToFit="0" vertical="top" wrapText="1"/>
    </xf>
    <xf borderId="0" fillId="2" fontId="7" numFmtId="0" xfId="0" applyAlignment="1" applyFont="1">
      <alignment horizontal="center" shrinkToFit="0" vertical="top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bottom"/>
    </xf>
    <xf borderId="0" fillId="0" fontId="2" numFmtId="3" xfId="0" applyAlignment="1" applyFont="1" applyNumberFormat="1">
      <alignment horizontal="center" vertical="bottom"/>
    </xf>
    <xf borderId="0" fillId="0" fontId="9" numFmtId="0" xfId="0" applyAlignment="1" applyFont="1">
      <alignment readingOrder="0" vertical="top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2" fontId="10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32900935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57.88"/>
    <col customWidth="1" min="3" max="3" width="2.88"/>
    <col customWidth="1" min="4" max="4" width="8.38"/>
    <col customWidth="1" min="5" max="5" width="11.75"/>
    <col customWidth="1" min="7" max="7" width="16.5"/>
    <col customWidth="1" min="8" max="8" width="14.25"/>
    <col customWidth="1" min="9" max="10" width="5.63"/>
    <col customWidth="1" min="13" max="13" width="2.88"/>
    <col customWidth="1" min="14" max="14" width="5.5"/>
  </cols>
  <sheetData>
    <row r="1">
      <c r="A1" s="1" t="s">
        <v>0</v>
      </c>
      <c r="D1" s="1"/>
      <c r="F1" s="2"/>
    </row>
    <row r="2">
      <c r="A2" s="1" t="s">
        <v>1</v>
      </c>
      <c r="B2" s="3" t="s">
        <v>2</v>
      </c>
      <c r="D2" s="1"/>
      <c r="F2" s="2"/>
    </row>
    <row r="3">
      <c r="A3" s="1" t="s">
        <v>3</v>
      </c>
      <c r="D3" s="1"/>
      <c r="F3" s="2"/>
    </row>
    <row r="4">
      <c r="D4" s="1"/>
      <c r="F4" s="2"/>
    </row>
    <row r="5">
      <c r="A5" s="1" t="s">
        <v>4</v>
      </c>
      <c r="O5" s="4"/>
      <c r="P5" s="5"/>
    </row>
    <row r="6">
      <c r="A6" s="1" t="s">
        <v>5</v>
      </c>
      <c r="F6" s="6"/>
      <c r="O6" s="4"/>
      <c r="P6" s="5"/>
    </row>
    <row r="7">
      <c r="A7" s="1" t="s">
        <v>6</v>
      </c>
      <c r="O7" s="4"/>
      <c r="P7" s="5"/>
    </row>
    <row r="8">
      <c r="A8" s="1" t="s">
        <v>7</v>
      </c>
      <c r="O8" s="4"/>
      <c r="P8" s="5"/>
    </row>
    <row r="9">
      <c r="A9" s="1" t="s">
        <v>8</v>
      </c>
      <c r="O9" s="4"/>
      <c r="P9" s="5"/>
    </row>
    <row r="10">
      <c r="A10" s="1" t="s">
        <v>9</v>
      </c>
      <c r="O10" s="4"/>
      <c r="P10" s="5"/>
    </row>
    <row r="11">
      <c r="A11" s="1"/>
      <c r="O11" s="4"/>
      <c r="P11" s="5"/>
    </row>
    <row r="12">
      <c r="A12" s="7" t="s">
        <v>10</v>
      </c>
      <c r="D12" s="8" t="s">
        <v>11</v>
      </c>
      <c r="E12" s="8" t="s">
        <v>12</v>
      </c>
      <c r="F12" s="8" t="s">
        <v>13</v>
      </c>
      <c r="G12" s="9"/>
      <c r="O12" s="4"/>
      <c r="P12" s="5"/>
    </row>
    <row r="13">
      <c r="A13" s="10" t="s">
        <v>14</v>
      </c>
      <c r="B13" s="11" t="s">
        <v>15</v>
      </c>
      <c r="C13" s="12">
        <f t="shared" ref="C13:C18" si="1">LEN(B13)</f>
        <v>51</v>
      </c>
      <c r="D13" s="13">
        <f t="shared" ref="D13:D14" si="2">16*3</f>
        <v>48</v>
      </c>
      <c r="E13" s="14">
        <v>25.0</v>
      </c>
      <c r="F13" s="14">
        <f t="shared" ref="F13:F18" si="3">D13*E$13/1000*1000</f>
        <v>1200</v>
      </c>
      <c r="G13" s="15"/>
      <c r="K13" s="11"/>
      <c r="L13" s="11"/>
      <c r="M13" s="11"/>
      <c r="N13" s="11"/>
      <c r="O13" s="16"/>
      <c r="P13" s="16"/>
    </row>
    <row r="14">
      <c r="A14" s="10" t="s">
        <v>16</v>
      </c>
      <c r="B14" s="11" t="s">
        <v>17</v>
      </c>
      <c r="C14" s="12">
        <f t="shared" si="1"/>
        <v>49</v>
      </c>
      <c r="D14" s="13">
        <f t="shared" si="2"/>
        <v>48</v>
      </c>
      <c r="E14" s="14"/>
      <c r="F14" s="14">
        <f t="shared" si="3"/>
        <v>1200</v>
      </c>
      <c r="G14" s="15"/>
      <c r="K14" s="11"/>
      <c r="L14" s="11"/>
      <c r="M14" s="11"/>
      <c r="N14" s="11"/>
      <c r="O14" s="16"/>
      <c r="P14" s="16"/>
    </row>
    <row r="15">
      <c r="A15" s="10" t="s">
        <v>18</v>
      </c>
      <c r="B15" s="11" t="s">
        <v>19</v>
      </c>
      <c r="C15" s="12">
        <f t="shared" si="1"/>
        <v>18</v>
      </c>
      <c r="D15" s="13">
        <v>6.0</v>
      </c>
      <c r="E15" s="14"/>
      <c r="F15" s="14">
        <f t="shared" si="3"/>
        <v>150</v>
      </c>
      <c r="G15" s="15"/>
      <c r="K15" s="11"/>
      <c r="L15" s="11"/>
      <c r="M15" s="11"/>
      <c r="N15" s="11"/>
    </row>
    <row r="16">
      <c r="A16" s="10" t="s">
        <v>20</v>
      </c>
      <c r="B16" s="11" t="s">
        <v>21</v>
      </c>
      <c r="C16" s="12">
        <f t="shared" si="1"/>
        <v>22</v>
      </c>
      <c r="D16" s="13">
        <v>6.0</v>
      </c>
      <c r="E16" s="14"/>
      <c r="F16" s="14">
        <f t="shared" si="3"/>
        <v>150</v>
      </c>
      <c r="G16" s="15"/>
      <c r="K16" s="11"/>
      <c r="L16" s="11"/>
      <c r="M16" s="11"/>
      <c r="N16" s="11"/>
    </row>
    <row r="17">
      <c r="A17" s="10" t="s">
        <v>22</v>
      </c>
      <c r="B17" s="11" t="s">
        <v>23</v>
      </c>
      <c r="C17" s="12">
        <f t="shared" si="1"/>
        <v>28</v>
      </c>
      <c r="D17" s="13">
        <v>12.0</v>
      </c>
      <c r="E17" s="14"/>
      <c r="F17" s="14">
        <f t="shared" si="3"/>
        <v>300</v>
      </c>
      <c r="G17" s="15"/>
      <c r="K17" s="11"/>
      <c r="L17" s="11"/>
      <c r="M17" s="11"/>
      <c r="N17" s="11"/>
      <c r="O17" s="16"/>
      <c r="P17" s="16"/>
    </row>
    <row r="18">
      <c r="A18" s="10" t="s">
        <v>24</v>
      </c>
      <c r="B18" s="11" t="s">
        <v>25</v>
      </c>
      <c r="C18" s="12">
        <f t="shared" si="1"/>
        <v>27</v>
      </c>
      <c r="D18" s="13">
        <v>12.0</v>
      </c>
      <c r="E18" s="14"/>
      <c r="F18" s="14">
        <f t="shared" si="3"/>
        <v>300</v>
      </c>
      <c r="G18" s="15"/>
      <c r="K18" s="11"/>
      <c r="L18" s="11"/>
      <c r="M18" s="11"/>
      <c r="N18" s="11"/>
      <c r="O18" s="16"/>
      <c r="P18" s="16"/>
    </row>
    <row r="19">
      <c r="G19" s="17"/>
      <c r="K19" s="11"/>
      <c r="L19" s="11"/>
      <c r="M19" s="11"/>
      <c r="N19" s="11"/>
      <c r="O19" s="16"/>
      <c r="P19" s="16"/>
    </row>
    <row r="20">
      <c r="A20" s="11"/>
      <c r="B20" s="10"/>
      <c r="C20" s="10"/>
      <c r="D20" s="10"/>
      <c r="E20" s="10"/>
      <c r="F20" s="10"/>
      <c r="G20" s="17"/>
      <c r="K20" s="11"/>
      <c r="L20" s="11"/>
      <c r="M20" s="11"/>
      <c r="N20" s="11"/>
      <c r="O20" s="16"/>
      <c r="P20" s="16"/>
    </row>
    <row r="21">
      <c r="A21" s="7" t="s">
        <v>26</v>
      </c>
      <c r="B21" s="10"/>
      <c r="C21" s="10"/>
      <c r="D21" s="8"/>
      <c r="E21" s="9"/>
      <c r="F21" s="9"/>
      <c r="G21" s="9"/>
      <c r="K21" s="11"/>
      <c r="L21" s="11"/>
      <c r="M21" s="11"/>
      <c r="N21" s="11"/>
      <c r="O21" s="16"/>
      <c r="P21" s="16"/>
    </row>
    <row r="22">
      <c r="A22" s="10" t="s">
        <v>27</v>
      </c>
      <c r="B22" s="11" t="s">
        <v>28</v>
      </c>
      <c r="C22" s="12">
        <f t="shared" ref="C22:C27" si="4">LEN(B22)</f>
        <v>42</v>
      </c>
      <c r="D22" s="13">
        <f>D$13</f>
        <v>48</v>
      </c>
      <c r="E22" s="14"/>
      <c r="F22" s="14"/>
      <c r="G22" s="15"/>
      <c r="H22" s="12"/>
      <c r="I22" s="18"/>
      <c r="K22" s="11"/>
      <c r="L22" s="11"/>
      <c r="M22" s="11"/>
      <c r="N22" s="11"/>
      <c r="O22" s="16"/>
      <c r="P22" s="16"/>
    </row>
    <row r="23">
      <c r="A23" s="10" t="s">
        <v>29</v>
      </c>
      <c r="B23" s="11" t="s">
        <v>30</v>
      </c>
      <c r="C23" s="12">
        <f t="shared" si="4"/>
        <v>44</v>
      </c>
      <c r="D23" s="13">
        <f>D$14</f>
        <v>48</v>
      </c>
      <c r="E23" s="14"/>
      <c r="F23" s="14"/>
      <c r="G23" s="15"/>
      <c r="H23" s="12"/>
      <c r="I23" s="18"/>
      <c r="K23" s="11"/>
      <c r="L23" s="11"/>
      <c r="M23" s="11"/>
      <c r="N23" s="11"/>
      <c r="O23" s="16"/>
      <c r="P23" s="16"/>
    </row>
    <row r="24">
      <c r="A24" s="10" t="s">
        <v>31</v>
      </c>
      <c r="B24" s="11" t="s">
        <v>32</v>
      </c>
      <c r="C24" s="12">
        <f t="shared" si="4"/>
        <v>23</v>
      </c>
      <c r="D24" s="13">
        <f>D$15</f>
        <v>6</v>
      </c>
      <c r="E24" s="14"/>
      <c r="F24" s="14"/>
      <c r="G24" s="15"/>
      <c r="H24" s="12"/>
      <c r="I24" s="18"/>
      <c r="K24" s="11"/>
      <c r="L24" s="11"/>
      <c r="M24" s="11"/>
      <c r="N24" s="11"/>
      <c r="O24" s="4"/>
      <c r="P24" s="5"/>
    </row>
    <row r="25">
      <c r="A25" s="10" t="s">
        <v>33</v>
      </c>
      <c r="B25" s="11" t="s">
        <v>34</v>
      </c>
      <c r="C25" s="12">
        <f t="shared" si="4"/>
        <v>22</v>
      </c>
      <c r="D25" s="13">
        <f>D$16</f>
        <v>6</v>
      </c>
      <c r="E25" s="14"/>
      <c r="F25" s="14"/>
      <c r="G25" s="15"/>
      <c r="H25" s="12"/>
      <c r="I25" s="18"/>
      <c r="K25" s="11"/>
      <c r="L25" s="11"/>
      <c r="M25" s="11"/>
      <c r="N25" s="11"/>
    </row>
    <row r="26">
      <c r="A26" s="10" t="s">
        <v>35</v>
      </c>
      <c r="B26" s="11" t="s">
        <v>36</v>
      </c>
      <c r="C26" s="12">
        <f t="shared" si="4"/>
        <v>18</v>
      </c>
      <c r="D26" s="13">
        <f>D$17</f>
        <v>12</v>
      </c>
      <c r="E26" s="14"/>
      <c r="F26" s="14"/>
      <c r="G26" s="15"/>
      <c r="H26" s="12"/>
      <c r="I26" s="18"/>
      <c r="K26" s="11"/>
      <c r="L26" s="11"/>
      <c r="M26" s="11"/>
      <c r="N26" s="11"/>
    </row>
    <row r="27">
      <c r="A27" s="10" t="s">
        <v>37</v>
      </c>
      <c r="B27" s="11" t="s">
        <v>38</v>
      </c>
      <c r="C27" s="12">
        <f t="shared" si="4"/>
        <v>19</v>
      </c>
      <c r="D27" s="13">
        <f>D$18</f>
        <v>12</v>
      </c>
      <c r="E27" s="14"/>
      <c r="F27" s="14"/>
      <c r="G27" s="15"/>
      <c r="H27" s="12"/>
      <c r="I27" s="18"/>
      <c r="K27" s="11"/>
      <c r="L27" s="11"/>
      <c r="M27" s="11"/>
      <c r="N27" s="11"/>
    </row>
    <row r="28">
      <c r="A28" s="10"/>
      <c r="B28" s="10"/>
      <c r="C28" s="10"/>
      <c r="D28" s="10"/>
      <c r="E28" s="10"/>
      <c r="F28" s="10"/>
      <c r="G28" s="18"/>
      <c r="K28" s="11"/>
      <c r="L28" s="11"/>
      <c r="M28" s="11"/>
      <c r="N28" s="11"/>
    </row>
    <row r="29">
      <c r="A29" s="7" t="s">
        <v>39</v>
      </c>
      <c r="B29" s="10"/>
      <c r="C29" s="10"/>
      <c r="D29" s="8"/>
      <c r="E29" s="9"/>
      <c r="F29" s="9"/>
      <c r="G29" s="9"/>
      <c r="K29" s="11"/>
      <c r="L29" s="11"/>
      <c r="M29" s="11"/>
      <c r="N29" s="11"/>
    </row>
    <row r="30">
      <c r="A30" s="10" t="s">
        <v>40</v>
      </c>
      <c r="B30" s="19" t="s">
        <v>41</v>
      </c>
      <c r="C30" s="12">
        <f t="shared" ref="C30:C35" si="5">LEN(B30)</f>
        <v>42</v>
      </c>
      <c r="D30" s="13">
        <f>D$13</f>
        <v>48</v>
      </c>
      <c r="E30" s="14"/>
      <c r="F30" s="14"/>
      <c r="G30" s="15"/>
      <c r="H30" s="12"/>
      <c r="I30" s="18"/>
      <c r="J30" s="16"/>
      <c r="K30" s="11"/>
      <c r="L30" s="11"/>
      <c r="M30" s="11"/>
      <c r="N30" s="11"/>
    </row>
    <row r="31">
      <c r="A31" s="10" t="s">
        <v>42</v>
      </c>
      <c r="B31" s="19" t="s">
        <v>43</v>
      </c>
      <c r="C31" s="12">
        <f t="shared" si="5"/>
        <v>40</v>
      </c>
      <c r="D31" s="13">
        <f>D$14</f>
        <v>48</v>
      </c>
      <c r="E31" s="14"/>
      <c r="F31" s="14"/>
      <c r="G31" s="15"/>
      <c r="H31" s="12"/>
      <c r="I31" s="18"/>
      <c r="J31" s="16"/>
      <c r="K31" s="11"/>
      <c r="L31" s="11"/>
      <c r="M31" s="11"/>
      <c r="N31" s="11"/>
      <c r="O31" s="4"/>
      <c r="P31" s="5"/>
    </row>
    <row r="32">
      <c r="A32" s="10" t="s">
        <v>44</v>
      </c>
      <c r="B32" s="19" t="s">
        <v>45</v>
      </c>
      <c r="C32" s="12">
        <f t="shared" si="5"/>
        <v>21</v>
      </c>
      <c r="D32" s="13">
        <f>D$15</f>
        <v>6</v>
      </c>
      <c r="E32" s="14"/>
      <c r="F32" s="14"/>
      <c r="G32" s="15"/>
      <c r="H32" s="12"/>
      <c r="I32" s="18"/>
      <c r="J32" s="16"/>
      <c r="K32" s="11"/>
      <c r="L32" s="11"/>
      <c r="M32" s="11"/>
      <c r="N32" s="11"/>
      <c r="O32" s="16"/>
      <c r="P32" s="16"/>
    </row>
    <row r="33">
      <c r="A33" s="10" t="s">
        <v>46</v>
      </c>
      <c r="B33" s="19" t="s">
        <v>47</v>
      </c>
      <c r="C33" s="12">
        <f t="shared" si="5"/>
        <v>25</v>
      </c>
      <c r="D33" s="13">
        <f>D$16</f>
        <v>6</v>
      </c>
      <c r="E33" s="14"/>
      <c r="F33" s="14"/>
      <c r="G33" s="15"/>
      <c r="H33" s="12"/>
      <c r="I33" s="18"/>
      <c r="J33" s="16"/>
      <c r="K33" s="11"/>
      <c r="L33" s="11"/>
      <c r="M33" s="11"/>
      <c r="N33" s="11"/>
      <c r="O33" s="16"/>
      <c r="P33" s="16"/>
    </row>
    <row r="34">
      <c r="A34" s="10" t="s">
        <v>48</v>
      </c>
      <c r="B34" s="19" t="s">
        <v>49</v>
      </c>
      <c r="C34" s="12">
        <f t="shared" si="5"/>
        <v>21</v>
      </c>
      <c r="D34" s="13">
        <f>D$17</f>
        <v>12</v>
      </c>
      <c r="E34" s="14"/>
      <c r="F34" s="14"/>
      <c r="G34" s="15"/>
      <c r="H34" s="12"/>
      <c r="I34" s="18"/>
      <c r="J34" s="16"/>
      <c r="K34" s="11"/>
      <c r="L34" s="11"/>
      <c r="M34" s="11"/>
      <c r="N34" s="11"/>
      <c r="O34" s="16"/>
      <c r="P34" s="16"/>
    </row>
    <row r="35">
      <c r="A35" s="10" t="s">
        <v>50</v>
      </c>
      <c r="B35" s="19" t="s">
        <v>51</v>
      </c>
      <c r="C35" s="12">
        <f t="shared" si="5"/>
        <v>20</v>
      </c>
      <c r="D35" s="13">
        <f>D$18</f>
        <v>12</v>
      </c>
      <c r="E35" s="14"/>
      <c r="F35" s="14"/>
      <c r="G35" s="15"/>
      <c r="H35" s="12"/>
      <c r="I35" s="18"/>
      <c r="J35" s="16"/>
      <c r="K35" s="11"/>
      <c r="L35" s="11"/>
      <c r="M35" s="11"/>
      <c r="N35" s="11"/>
      <c r="O35" s="16"/>
      <c r="P35" s="16"/>
    </row>
    <row r="36">
      <c r="K36" s="11"/>
      <c r="L36" s="11"/>
      <c r="M36" s="11"/>
      <c r="N36" s="11"/>
      <c r="O36" s="16"/>
      <c r="P36" s="16"/>
    </row>
    <row r="37">
      <c r="A37" s="7" t="s">
        <v>52</v>
      </c>
      <c r="D37" s="8"/>
      <c r="E37" s="9"/>
      <c r="F37" s="9"/>
      <c r="G37" s="9"/>
      <c r="K37" s="11"/>
      <c r="L37" s="11"/>
      <c r="M37" s="11"/>
      <c r="N37" s="11"/>
      <c r="O37" s="16"/>
      <c r="P37" s="16"/>
    </row>
    <row r="38">
      <c r="A38" s="20" t="s">
        <v>53</v>
      </c>
      <c r="B38" s="10" t="s">
        <v>54</v>
      </c>
      <c r="C38" s="12">
        <f t="shared" ref="C38:C43" si="6">LEN(B38)</f>
        <v>41</v>
      </c>
      <c r="D38" s="13">
        <f>D$13</f>
        <v>48</v>
      </c>
      <c r="E38" s="14"/>
      <c r="F38" s="14"/>
      <c r="G38" s="15"/>
      <c r="K38" s="11"/>
      <c r="L38" s="11"/>
      <c r="M38" s="11"/>
      <c r="N38" s="11"/>
      <c r="O38" s="4"/>
      <c r="P38" s="5"/>
    </row>
    <row r="39">
      <c r="A39" s="10" t="s">
        <v>55</v>
      </c>
      <c r="B39" s="10" t="s">
        <v>56</v>
      </c>
      <c r="C39" s="12">
        <f t="shared" si="6"/>
        <v>45</v>
      </c>
      <c r="D39" s="13">
        <f>D$14</f>
        <v>48</v>
      </c>
      <c r="E39" s="14"/>
      <c r="F39" s="14"/>
      <c r="G39" s="15"/>
      <c r="K39" s="11"/>
      <c r="L39" s="11"/>
      <c r="M39" s="11"/>
      <c r="N39" s="11"/>
    </row>
    <row r="40">
      <c r="A40" s="10" t="s">
        <v>57</v>
      </c>
      <c r="B40" s="10" t="s">
        <v>58</v>
      </c>
      <c r="C40" s="12">
        <f t="shared" si="6"/>
        <v>17</v>
      </c>
      <c r="D40" s="13">
        <f>D$15</f>
        <v>6</v>
      </c>
      <c r="E40" s="14"/>
      <c r="F40" s="14"/>
      <c r="G40" s="15"/>
      <c r="K40" s="11"/>
      <c r="L40" s="11"/>
      <c r="M40" s="11"/>
      <c r="N40" s="11"/>
    </row>
    <row r="41">
      <c r="A41" s="10" t="s">
        <v>59</v>
      </c>
      <c r="B41" s="10" t="s">
        <v>60</v>
      </c>
      <c r="C41" s="12">
        <f t="shared" si="6"/>
        <v>18</v>
      </c>
      <c r="D41" s="13">
        <f>D$16</f>
        <v>6</v>
      </c>
      <c r="E41" s="14"/>
      <c r="F41" s="14"/>
      <c r="G41" s="15"/>
      <c r="K41" s="11"/>
      <c r="L41" s="11"/>
      <c r="M41" s="11"/>
      <c r="N41" s="11"/>
    </row>
    <row r="42">
      <c r="A42" s="10" t="s">
        <v>61</v>
      </c>
      <c r="B42" s="10" t="s">
        <v>62</v>
      </c>
      <c r="C42" s="12">
        <f t="shared" si="6"/>
        <v>20</v>
      </c>
      <c r="D42" s="13">
        <f>D$17</f>
        <v>12</v>
      </c>
      <c r="E42" s="14"/>
      <c r="F42" s="14"/>
      <c r="G42" s="15"/>
      <c r="K42" s="11"/>
      <c r="L42" s="11"/>
      <c r="M42" s="11"/>
      <c r="N42" s="11"/>
    </row>
    <row r="43">
      <c r="A43" s="10" t="s">
        <v>63</v>
      </c>
      <c r="B43" s="10" t="s">
        <v>64</v>
      </c>
      <c r="C43" s="12">
        <f t="shared" si="6"/>
        <v>20</v>
      </c>
      <c r="D43" s="13">
        <f>D$18</f>
        <v>12</v>
      </c>
      <c r="E43" s="14"/>
      <c r="F43" s="14"/>
      <c r="G43" s="15"/>
      <c r="K43" s="11"/>
      <c r="L43" s="11"/>
      <c r="M43" s="11"/>
      <c r="N43" s="11"/>
    </row>
    <row r="45">
      <c r="A45" s="21" t="s">
        <v>65</v>
      </c>
      <c r="B45" s="10"/>
      <c r="C45" s="10"/>
    </row>
    <row r="46">
      <c r="A46" s="22" t="s">
        <v>66</v>
      </c>
      <c r="B46" s="10" t="s">
        <v>67</v>
      </c>
      <c r="C46" s="10">
        <f t="shared" ref="C46:C51" si="7">LEN(B46)</f>
        <v>40</v>
      </c>
      <c r="D46" s="13">
        <f>D$13</f>
        <v>48</v>
      </c>
      <c r="H46" s="11"/>
      <c r="I46" s="11"/>
    </row>
    <row r="47">
      <c r="A47" s="10" t="s">
        <v>68</v>
      </c>
      <c r="B47" s="10" t="s">
        <v>69</v>
      </c>
      <c r="C47" s="10">
        <f t="shared" si="7"/>
        <v>38</v>
      </c>
      <c r="D47" s="13">
        <f>D$14</f>
        <v>48</v>
      </c>
      <c r="H47" s="11"/>
      <c r="I47" s="11"/>
    </row>
    <row r="48">
      <c r="A48" s="10" t="s">
        <v>70</v>
      </c>
      <c r="B48" s="10" t="s">
        <v>71</v>
      </c>
      <c r="C48" s="10">
        <f t="shared" si="7"/>
        <v>18</v>
      </c>
      <c r="D48" s="13">
        <f>D$15</f>
        <v>6</v>
      </c>
      <c r="H48" s="11"/>
      <c r="I48" s="11"/>
    </row>
    <row r="49">
      <c r="A49" s="10" t="s">
        <v>72</v>
      </c>
      <c r="B49" s="10" t="s">
        <v>73</v>
      </c>
      <c r="C49" s="10">
        <f t="shared" si="7"/>
        <v>20</v>
      </c>
      <c r="D49" s="13">
        <f>D$16</f>
        <v>6</v>
      </c>
      <c r="H49" s="11"/>
      <c r="I49" s="11"/>
    </row>
    <row r="50">
      <c r="A50" s="10" t="s">
        <v>74</v>
      </c>
      <c r="B50" s="10" t="s">
        <v>75</v>
      </c>
      <c r="C50" s="10">
        <f t="shared" si="7"/>
        <v>21</v>
      </c>
      <c r="D50" s="13">
        <f>D$17</f>
        <v>12</v>
      </c>
      <c r="H50" s="11"/>
      <c r="I50" s="11"/>
    </row>
    <row r="51">
      <c r="A51" s="10" t="s">
        <v>76</v>
      </c>
      <c r="B51" s="10" t="s">
        <v>77</v>
      </c>
      <c r="C51" s="10">
        <f t="shared" si="7"/>
        <v>23</v>
      </c>
      <c r="D51" s="13">
        <f>D$18</f>
        <v>12</v>
      </c>
      <c r="H51" s="11"/>
      <c r="I51" s="11"/>
    </row>
  </sheetData>
  <hyperlinks>
    <hyperlink r:id="rId1" ref="B2"/>
  </hyperlinks>
  <drawing r:id="rId2"/>
</worksheet>
</file>